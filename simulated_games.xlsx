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uni work\3rd year\PROJECT\dissertation\"/>
    </mc:Choice>
  </mc:AlternateContent>
  <xr:revisionPtr revIDLastSave="0" documentId="13_ncr:1_{5B230B81-EC17-4CA0-90C8-90D5D0E98499}" xr6:coauthVersionLast="47" xr6:coauthVersionMax="47" xr10:uidLastSave="{00000000-0000-0000-0000-000000000000}"/>
  <bookViews>
    <workbookView xWindow="-110" yWindow="-110" windowWidth="19420" windowHeight="11500" activeTab="1" xr2:uid="{4C3385E1-A413-439A-AABF-D55D0BECC6CE}"/>
  </bookViews>
  <sheets>
    <sheet name="Helios vs Itself" sheetId="1" r:id="rId1"/>
    <sheet name="Helios vs Donn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3" l="1"/>
  <c r="J33" i="3"/>
  <c r="V21" i="3"/>
  <c r="R21" i="3"/>
  <c r="N21" i="3"/>
  <c r="J21" i="3"/>
  <c r="V9" i="3"/>
  <c r="R9" i="3"/>
  <c r="N9" i="3"/>
  <c r="J9" i="3"/>
  <c r="R32" i="3"/>
  <c r="R36" i="3"/>
  <c r="P36" i="3"/>
  <c r="R35" i="3"/>
  <c r="P35" i="3"/>
  <c r="R34" i="3"/>
  <c r="P34" i="3"/>
  <c r="R31" i="3"/>
  <c r="P31" i="3"/>
  <c r="R30" i="3"/>
  <c r="P30" i="3"/>
  <c r="R29" i="3"/>
  <c r="P29" i="3"/>
  <c r="R28" i="3"/>
  <c r="P28" i="3"/>
  <c r="R27" i="3"/>
  <c r="P27" i="3"/>
  <c r="P28" i="1"/>
  <c r="R35" i="1"/>
  <c r="R36" i="1"/>
  <c r="R34" i="1"/>
  <c r="R28" i="1"/>
  <c r="R29" i="1"/>
  <c r="R30" i="1"/>
  <c r="R31" i="1"/>
  <c r="R27" i="1"/>
  <c r="P35" i="1"/>
  <c r="P36" i="1"/>
  <c r="P34" i="1"/>
  <c r="P29" i="1"/>
  <c r="P30" i="1"/>
  <c r="P31" i="1"/>
  <c r="P27" i="1"/>
  <c r="R33" i="3" l="1"/>
</calcChain>
</file>

<file path=xl/sharedStrings.xml><?xml version="1.0" encoding="utf-8"?>
<sst xmlns="http://schemas.openxmlformats.org/spreadsheetml/2006/main" count="443" uniqueCount="71">
  <si>
    <t>Match #</t>
  </si>
  <si>
    <t>Result</t>
  </si>
  <si>
    <t>Score</t>
  </si>
  <si>
    <t>Link to Youtube Video</t>
  </si>
  <si>
    <t>Link to stats of that game</t>
  </si>
  <si>
    <t>Game 1</t>
  </si>
  <si>
    <t>Helios</t>
  </si>
  <si>
    <t>Goals</t>
  </si>
  <si>
    <t>Shots</t>
  </si>
  <si>
    <t>Shots on Target</t>
  </si>
  <si>
    <t>Chances Created</t>
  </si>
  <si>
    <t>Dribbles</t>
  </si>
  <si>
    <t>xG per shot</t>
  </si>
  <si>
    <t>Corners</t>
  </si>
  <si>
    <t>Attacking Free Kicks</t>
  </si>
  <si>
    <t>Link</t>
  </si>
  <si>
    <t>Helios2</t>
  </si>
  <si>
    <t>https://youtu.be/NhQJzbB2VHY</t>
  </si>
  <si>
    <t>https://youtu.be/Kw-MBHb-08E</t>
  </si>
  <si>
    <t>https://youtu.be/C-5Va7iSE-k</t>
  </si>
  <si>
    <t>https://youtu.be/LGDjlzwrz28</t>
  </si>
  <si>
    <t>https://youtu.be/jeHY8msaogk</t>
  </si>
  <si>
    <t>https://youtu.be/QIJCOUmFp0w</t>
  </si>
  <si>
    <t>https://youtu.be/A1xZi7OB6DM</t>
  </si>
  <si>
    <t>https://youtu.be/4b6-Ghlgrng</t>
  </si>
  <si>
    <t>https://youtu.be/1O3kZttt6iA</t>
  </si>
  <si>
    <t>https://youtu.be/RLxGB4Jd-2c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</si>
  <si>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</si>
  <si>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</si>
  <si>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</si>
  <si>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</si>
  <si>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</si>
  <si>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</si>
  <si>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</si>
  <si>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</si>
  <si>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Game 10</t>
  </si>
  <si>
    <t>DonnyDynamos</t>
  </si>
  <si>
    <t>LOSS</t>
  </si>
  <si>
    <t>WIN</t>
  </si>
  <si>
    <t>3-7</t>
  </si>
  <si>
    <t>1-2</t>
  </si>
  <si>
    <t>4-1</t>
  </si>
  <si>
    <t>0-3</t>
  </si>
  <si>
    <t>2-6</t>
  </si>
  <si>
    <t>3-1</t>
  </si>
  <si>
    <t>4-3</t>
  </si>
  <si>
    <t>5-3</t>
  </si>
  <si>
    <t>4-5</t>
  </si>
  <si>
    <t>N/A</t>
  </si>
  <si>
    <t>AVERAGE</t>
  </si>
  <si>
    <t>Entries to Opp. Box</t>
  </si>
  <si>
    <t xml:space="preserve"> </t>
  </si>
  <si>
    <t>2-1</t>
  </si>
  <si>
    <t>2-2</t>
  </si>
  <si>
    <t>4-2</t>
  </si>
  <si>
    <t>6-2</t>
  </si>
  <si>
    <t>3-3</t>
  </si>
  <si>
    <t>0-1</t>
  </si>
  <si>
    <t>3-2</t>
  </si>
  <si>
    <t>DRAW</t>
  </si>
  <si>
    <t>https://youtu.be/q-Eme_yiRQU</t>
  </si>
  <si>
    <t>https://youtu.be/x9NMJlPp0nY</t>
  </si>
  <si>
    <t>https://youtu.be/qDxCyvV96Bo</t>
  </si>
  <si>
    <t>https://youtu.be/Gsh28rGIqcY</t>
  </si>
  <si>
    <t>https://youtu.be/txxwMR5J1OM</t>
  </si>
  <si>
    <t>https://youtu.be/c_Eq7erDgiU</t>
  </si>
  <si>
    <t>https://youtu.be/lFoa3fUlYn0</t>
  </si>
  <si>
    <t>https://youtu.be/8rkicLbvCcs</t>
  </si>
  <si>
    <t>https://youtu.be/KQX1QVLa3YE</t>
  </si>
  <si>
    <t>https://youtu.be/3H_0MAbKpsU</t>
  </si>
  <si>
    <t>Total xG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</si>
</sst>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" xfId="1" quotePrefix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" fillId="0" borderId="0" xfId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5" xfId="1" quotePrefix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2" fillId="0" borderId="0" xfId="1" applyNumberFormat="1" applyBorder="1" applyAlignment="1">
      <alignment horizontal="center"/>
    </xf>
    <xf numFmtId="49" fontId="2" fillId="0" borderId="4" xfId="1" applyNumberFormat="1" applyBorder="1" applyAlignment="1">
      <alignment horizontal="center"/>
    </xf>
    <xf numFmtId="49" fontId="1" fillId="7" borderId="0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67" fontId="0" fillId="3" borderId="11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A1xZi7OB6DM" TargetMode="External"/><Relationship Id="rId3" Type="http://schemas.openxmlformats.org/officeDocument/2006/relationships/hyperlink" Target="https://youtu.be/C-5Va7iSE-k" TargetMode="External"/><Relationship Id="rId7" Type="http://schemas.openxmlformats.org/officeDocument/2006/relationships/hyperlink" Target="https://youtu.be/4b6-Ghlgrng" TargetMode="External"/><Relationship Id="rId2" Type="http://schemas.openxmlformats.org/officeDocument/2006/relationships/hyperlink" Target="https://youtu.be/Kw-MBHb-08E" TargetMode="External"/><Relationship Id="rId1" Type="http://schemas.openxmlformats.org/officeDocument/2006/relationships/hyperlink" Target="https://youtu.be/NhQJzbB2VHY" TargetMode="External"/><Relationship Id="rId6" Type="http://schemas.openxmlformats.org/officeDocument/2006/relationships/hyperlink" Target="https://youtu.be/QIJCOUmFp0w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youtu.be/jeHY8msaogk" TargetMode="External"/><Relationship Id="rId10" Type="http://schemas.openxmlformats.org/officeDocument/2006/relationships/hyperlink" Target="https://youtu.be/RLxGB4Jd-2c" TargetMode="External"/><Relationship Id="rId4" Type="http://schemas.openxmlformats.org/officeDocument/2006/relationships/hyperlink" Target="https://youtu.be/LGDjlzwrz28" TargetMode="External"/><Relationship Id="rId9" Type="http://schemas.openxmlformats.org/officeDocument/2006/relationships/hyperlink" Target="https://youtu.be/1O3kZttt6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5491-4F5C-4DA3-856C-523A10031D3A}">
  <dimension ref="B1:V36"/>
  <sheetViews>
    <sheetView workbookViewId="0">
      <selection activeCell="J15" sqref="J15"/>
    </sheetView>
  </sheetViews>
  <sheetFormatPr defaultRowHeight="14.5" x14ac:dyDescent="0.35"/>
  <cols>
    <col min="1" max="1" width="1.26953125" style="1" customWidth="1"/>
    <col min="2" max="2" width="7.26953125" style="1" bestFit="1" customWidth="1"/>
    <col min="3" max="3" width="8.36328125" style="1" customWidth="1"/>
    <col min="4" max="4" width="13.81640625" style="1" customWidth="1"/>
    <col min="5" max="5" width="27" style="1" bestFit="1" customWidth="1"/>
    <col min="6" max="6" width="22.6328125" style="1" customWidth="1"/>
    <col min="7" max="8" width="8.7265625" style="1"/>
    <col min="9" max="9" width="17.26953125" style="1" bestFit="1" customWidth="1"/>
    <col min="10" max="10" width="8.7265625" style="1"/>
    <col min="11" max="11" width="1.6328125" style="1" customWidth="1"/>
    <col min="12" max="12" width="8.7265625" style="1"/>
    <col min="13" max="13" width="17.26953125" style="1" bestFit="1" customWidth="1"/>
    <col min="14" max="14" width="8.7265625" style="1" customWidth="1"/>
    <col min="15" max="15" width="1.6328125" style="1" customWidth="1"/>
    <col min="16" max="16" width="8.7265625" style="1" customWidth="1"/>
    <col min="17" max="17" width="17.26953125" style="1" bestFit="1" customWidth="1"/>
    <col min="18" max="18" width="8.7265625" style="1"/>
    <col min="19" max="19" width="1.6328125" style="1" customWidth="1"/>
    <col min="20" max="20" width="8.7265625" style="1"/>
    <col min="21" max="21" width="17.26953125" style="1" bestFit="1" customWidth="1"/>
    <col min="22" max="16384" width="8.7265625" style="1"/>
  </cols>
  <sheetData>
    <row r="1" spans="2:22" ht="1.5" customHeight="1" thickBot="1" x14ac:dyDescent="0.4"/>
    <row r="2" spans="2:22" ht="15" thickBot="1" x14ac:dyDescent="0.4">
      <c r="B2" s="7" t="s">
        <v>0</v>
      </c>
      <c r="C2" s="8" t="s">
        <v>1</v>
      </c>
      <c r="D2" s="8" t="s">
        <v>2</v>
      </c>
      <c r="E2" s="8" t="s">
        <v>3</v>
      </c>
      <c r="F2" s="9" t="s">
        <v>4</v>
      </c>
      <c r="H2" s="15" t="s">
        <v>6</v>
      </c>
      <c r="I2" s="4" t="s">
        <v>5</v>
      </c>
      <c r="J2" s="11" t="s">
        <v>16</v>
      </c>
      <c r="L2" s="15" t="s">
        <v>6</v>
      </c>
      <c r="M2" s="4" t="s">
        <v>27</v>
      </c>
      <c r="N2" s="11" t="s">
        <v>16</v>
      </c>
      <c r="P2" s="15" t="s">
        <v>6</v>
      </c>
      <c r="Q2" s="4" t="s">
        <v>28</v>
      </c>
      <c r="R2" s="11" t="s">
        <v>16</v>
      </c>
      <c r="T2" s="15" t="s">
        <v>6</v>
      </c>
      <c r="U2" s="4" t="s">
        <v>29</v>
      </c>
      <c r="V2" s="11" t="s">
        <v>16</v>
      </c>
    </row>
    <row r="3" spans="2:22" ht="15" thickTop="1" x14ac:dyDescent="0.35">
      <c r="B3" s="2">
        <v>1</v>
      </c>
      <c r="C3" s="20" t="s">
        <v>37</v>
      </c>
      <c r="D3" s="22" t="s">
        <v>39</v>
      </c>
      <c r="E3" s="17" t="s">
        <v>17</v>
      </c>
      <c r="F3" s="10" t="s">
        <v>15</v>
      </c>
      <c r="H3" s="14">
        <v>3</v>
      </c>
      <c r="I3" s="5" t="s">
        <v>7</v>
      </c>
      <c r="J3" s="12">
        <v>7</v>
      </c>
      <c r="L3" s="14">
        <v>1</v>
      </c>
      <c r="M3" s="5" t="s">
        <v>7</v>
      </c>
      <c r="N3" s="12">
        <v>2</v>
      </c>
      <c r="P3" s="14">
        <v>4</v>
      </c>
      <c r="Q3" s="5" t="s">
        <v>7</v>
      </c>
      <c r="R3" s="12">
        <v>1</v>
      </c>
      <c r="T3" s="14">
        <v>0</v>
      </c>
      <c r="U3" s="5" t="s">
        <v>7</v>
      </c>
      <c r="V3" s="12">
        <v>3</v>
      </c>
    </row>
    <row r="4" spans="2:22" x14ac:dyDescent="0.35">
      <c r="B4" s="2">
        <v>2</v>
      </c>
      <c r="C4" s="20" t="s">
        <v>37</v>
      </c>
      <c r="D4" s="22" t="s">
        <v>40</v>
      </c>
      <c r="E4" s="17" t="s">
        <v>18</v>
      </c>
      <c r="F4" s="10" t="s">
        <v>15</v>
      </c>
      <c r="H4" s="14">
        <v>5</v>
      </c>
      <c r="I4" s="5" t="s">
        <v>8</v>
      </c>
      <c r="J4" s="12">
        <v>8</v>
      </c>
      <c r="L4" s="14">
        <v>5</v>
      </c>
      <c r="M4" s="5" t="s">
        <v>8</v>
      </c>
      <c r="N4" s="12">
        <v>5</v>
      </c>
      <c r="P4" s="14">
        <v>6</v>
      </c>
      <c r="Q4" s="5" t="s">
        <v>8</v>
      </c>
      <c r="R4" s="12">
        <v>5</v>
      </c>
      <c r="T4" s="14">
        <v>1</v>
      </c>
      <c r="U4" s="5" t="s">
        <v>8</v>
      </c>
      <c r="V4" s="12">
        <v>9</v>
      </c>
    </row>
    <row r="5" spans="2:22" x14ac:dyDescent="0.35">
      <c r="B5" s="2">
        <v>3</v>
      </c>
      <c r="C5" s="21" t="s">
        <v>38</v>
      </c>
      <c r="D5" s="22" t="s">
        <v>41</v>
      </c>
      <c r="E5" s="17" t="s">
        <v>19</v>
      </c>
      <c r="F5" s="10" t="s">
        <v>15</v>
      </c>
      <c r="H5" s="14">
        <v>4</v>
      </c>
      <c r="I5" s="5" t="s">
        <v>9</v>
      </c>
      <c r="J5" s="12">
        <v>7</v>
      </c>
      <c r="L5" s="14">
        <v>1</v>
      </c>
      <c r="M5" s="5" t="s">
        <v>9</v>
      </c>
      <c r="N5" s="12">
        <v>3</v>
      </c>
      <c r="P5" s="14">
        <v>4</v>
      </c>
      <c r="Q5" s="5" t="s">
        <v>9</v>
      </c>
      <c r="R5" s="12">
        <v>3</v>
      </c>
      <c r="T5" s="14">
        <v>1</v>
      </c>
      <c r="U5" s="5" t="s">
        <v>9</v>
      </c>
      <c r="V5" s="12">
        <v>8</v>
      </c>
    </row>
    <row r="6" spans="2:22" x14ac:dyDescent="0.35">
      <c r="B6" s="2">
        <v>4</v>
      </c>
      <c r="C6" s="20" t="s">
        <v>37</v>
      </c>
      <c r="D6" s="22" t="s">
        <v>42</v>
      </c>
      <c r="E6" s="17" t="s">
        <v>20</v>
      </c>
      <c r="F6" s="10" t="s">
        <v>15</v>
      </c>
      <c r="H6" s="14">
        <v>5</v>
      </c>
      <c r="I6" s="5" t="s">
        <v>10</v>
      </c>
      <c r="J6" s="12">
        <v>10</v>
      </c>
      <c r="L6" s="14">
        <v>5</v>
      </c>
      <c r="M6" s="5" t="s">
        <v>10</v>
      </c>
      <c r="N6" s="12">
        <v>6</v>
      </c>
      <c r="P6" s="14">
        <v>6</v>
      </c>
      <c r="Q6" s="5" t="s">
        <v>10</v>
      </c>
      <c r="R6" s="12">
        <v>6</v>
      </c>
      <c r="T6" s="14">
        <v>5</v>
      </c>
      <c r="U6" s="5" t="s">
        <v>10</v>
      </c>
      <c r="V6" s="12">
        <v>9</v>
      </c>
    </row>
    <row r="7" spans="2:22" x14ac:dyDescent="0.35">
      <c r="B7" s="2">
        <v>5</v>
      </c>
      <c r="C7" s="20" t="s">
        <v>37</v>
      </c>
      <c r="D7" s="22" t="s">
        <v>43</v>
      </c>
      <c r="E7" s="17" t="s">
        <v>21</v>
      </c>
      <c r="F7" s="10" t="s">
        <v>15</v>
      </c>
      <c r="H7" s="14">
        <v>4</v>
      </c>
      <c r="I7" s="5" t="s">
        <v>11</v>
      </c>
      <c r="J7" s="12">
        <v>7</v>
      </c>
      <c r="L7" s="14">
        <v>3</v>
      </c>
      <c r="M7" s="5" t="s">
        <v>11</v>
      </c>
      <c r="N7" s="12">
        <v>4</v>
      </c>
      <c r="P7" s="14">
        <v>5</v>
      </c>
      <c r="Q7" s="5" t="s">
        <v>11</v>
      </c>
      <c r="R7" s="12">
        <v>5</v>
      </c>
      <c r="T7" s="14">
        <v>2</v>
      </c>
      <c r="U7" s="5" t="s">
        <v>11</v>
      </c>
      <c r="V7" s="12">
        <v>3</v>
      </c>
    </row>
    <row r="8" spans="2:22" x14ac:dyDescent="0.35">
      <c r="B8" s="2">
        <v>6</v>
      </c>
      <c r="C8" s="21" t="s">
        <v>38</v>
      </c>
      <c r="D8" s="22" t="s">
        <v>44</v>
      </c>
      <c r="E8" s="17" t="s">
        <v>22</v>
      </c>
      <c r="F8" s="10" t="s">
        <v>15</v>
      </c>
      <c r="H8" s="14" t="s">
        <v>48</v>
      </c>
      <c r="I8" s="5" t="s">
        <v>70</v>
      </c>
      <c r="J8" s="12" t="s">
        <v>48</v>
      </c>
      <c r="L8" s="14" t="s">
        <v>48</v>
      </c>
      <c r="M8" s="5" t="s">
        <v>70</v>
      </c>
      <c r="N8" s="12" t="s">
        <v>48</v>
      </c>
      <c r="P8" s="14" t="s">
        <v>48</v>
      </c>
      <c r="Q8" s="5" t="s">
        <v>70</v>
      </c>
      <c r="R8" s="12" t="s">
        <v>48</v>
      </c>
      <c r="T8" s="14" t="s">
        <v>48</v>
      </c>
      <c r="U8" s="5" t="s">
        <v>70</v>
      </c>
      <c r="V8" s="12" t="s">
        <v>48</v>
      </c>
    </row>
    <row r="9" spans="2:22" x14ac:dyDescent="0.35">
      <c r="B9" s="2">
        <v>7</v>
      </c>
      <c r="C9" s="21" t="s">
        <v>38</v>
      </c>
      <c r="D9" s="22" t="s">
        <v>45</v>
      </c>
      <c r="E9" s="17" t="s">
        <v>24</v>
      </c>
      <c r="F9" s="10" t="s">
        <v>15</v>
      </c>
      <c r="H9" s="14" t="s">
        <v>48</v>
      </c>
      <c r="I9" s="5" t="s">
        <v>12</v>
      </c>
      <c r="J9" s="12" t="s">
        <v>48</v>
      </c>
      <c r="L9" s="14" t="s">
        <v>48</v>
      </c>
      <c r="M9" s="5" t="s">
        <v>12</v>
      </c>
      <c r="N9" s="12" t="s">
        <v>48</v>
      </c>
      <c r="P9" s="14" t="s">
        <v>48</v>
      </c>
      <c r="Q9" s="5" t="s">
        <v>12</v>
      </c>
      <c r="R9" s="12" t="s">
        <v>48</v>
      </c>
      <c r="T9" s="14" t="s">
        <v>48</v>
      </c>
      <c r="U9" s="5" t="s">
        <v>12</v>
      </c>
      <c r="V9" s="12" t="s">
        <v>48</v>
      </c>
    </row>
    <row r="10" spans="2:22" x14ac:dyDescent="0.35">
      <c r="B10" s="2">
        <v>8</v>
      </c>
      <c r="C10" s="21" t="s">
        <v>38</v>
      </c>
      <c r="D10" s="22" t="s">
        <v>46</v>
      </c>
      <c r="E10" s="17" t="s">
        <v>23</v>
      </c>
      <c r="F10" s="10" t="s">
        <v>15</v>
      </c>
      <c r="H10" s="14">
        <v>2</v>
      </c>
      <c r="I10" s="5" t="s">
        <v>13</v>
      </c>
      <c r="J10" s="12">
        <v>2</v>
      </c>
      <c r="L10" s="14">
        <v>1</v>
      </c>
      <c r="M10" s="5" t="s">
        <v>13</v>
      </c>
      <c r="N10" s="12">
        <v>2</v>
      </c>
      <c r="P10" s="14">
        <v>2</v>
      </c>
      <c r="Q10" s="5" t="s">
        <v>13</v>
      </c>
      <c r="R10" s="12">
        <v>2</v>
      </c>
      <c r="T10" s="14"/>
      <c r="U10" s="5" t="s">
        <v>13</v>
      </c>
      <c r="V10" s="12">
        <v>1</v>
      </c>
    </row>
    <row r="11" spans="2:22" x14ac:dyDescent="0.35">
      <c r="B11" s="2">
        <v>9</v>
      </c>
      <c r="C11" s="21" t="s">
        <v>38</v>
      </c>
      <c r="D11" s="22" t="s">
        <v>45</v>
      </c>
      <c r="E11" s="17" t="s">
        <v>25</v>
      </c>
      <c r="F11" s="10" t="s">
        <v>15</v>
      </c>
      <c r="H11" s="14">
        <v>2</v>
      </c>
      <c r="I11" s="5" t="s">
        <v>14</v>
      </c>
      <c r="J11" s="12">
        <v>2</v>
      </c>
      <c r="L11" s="14">
        <v>0</v>
      </c>
      <c r="M11" s="5" t="s">
        <v>14</v>
      </c>
      <c r="N11" s="12">
        <v>0</v>
      </c>
      <c r="P11" s="14">
        <v>0</v>
      </c>
      <c r="Q11" s="5" t="s">
        <v>14</v>
      </c>
      <c r="R11" s="12">
        <v>0</v>
      </c>
      <c r="T11" s="14">
        <v>1</v>
      </c>
      <c r="U11" s="5" t="s">
        <v>14</v>
      </c>
      <c r="V11" s="12">
        <v>2</v>
      </c>
    </row>
    <row r="12" spans="2:22" ht="15" thickBot="1" x14ac:dyDescent="0.4">
      <c r="B12" s="3">
        <v>10</v>
      </c>
      <c r="C12" s="28" t="s">
        <v>37</v>
      </c>
      <c r="D12" s="23" t="s">
        <v>47</v>
      </c>
      <c r="E12" s="18" t="s">
        <v>26</v>
      </c>
      <c r="F12" s="19" t="s">
        <v>15</v>
      </c>
      <c r="H12" s="16">
        <v>7</v>
      </c>
      <c r="I12" s="6" t="s">
        <v>50</v>
      </c>
      <c r="J12" s="13">
        <v>11</v>
      </c>
      <c r="L12" s="16">
        <v>7</v>
      </c>
      <c r="M12" s="6" t="s">
        <v>50</v>
      </c>
      <c r="N12" s="13">
        <v>7</v>
      </c>
      <c r="P12" s="16">
        <v>8</v>
      </c>
      <c r="Q12" s="6" t="s">
        <v>50</v>
      </c>
      <c r="R12" s="13">
        <v>9</v>
      </c>
      <c r="T12" s="16">
        <v>9</v>
      </c>
      <c r="U12" s="6" t="s">
        <v>50</v>
      </c>
      <c r="V12" s="13">
        <v>11</v>
      </c>
    </row>
    <row r="13" spans="2:22" ht="15" thickBot="1" x14ac:dyDescent="0.4"/>
    <row r="14" spans="2:22" x14ac:dyDescent="0.35">
      <c r="H14" s="15" t="s">
        <v>6</v>
      </c>
      <c r="I14" s="4" t="s">
        <v>30</v>
      </c>
      <c r="J14" s="11" t="s">
        <v>16</v>
      </c>
      <c r="L14" s="15" t="s">
        <v>6</v>
      </c>
      <c r="M14" s="4" t="s">
        <v>31</v>
      </c>
      <c r="N14" s="11" t="s">
        <v>16</v>
      </c>
      <c r="P14" s="15" t="s">
        <v>6</v>
      </c>
      <c r="Q14" s="4" t="s">
        <v>32</v>
      </c>
      <c r="R14" s="11" t="s">
        <v>16</v>
      </c>
      <c r="T14" s="15" t="s">
        <v>6</v>
      </c>
      <c r="U14" s="4" t="s">
        <v>33</v>
      </c>
      <c r="V14" s="11" t="s">
        <v>16</v>
      </c>
    </row>
    <row r="15" spans="2:22" x14ac:dyDescent="0.35">
      <c r="H15" s="14">
        <v>2</v>
      </c>
      <c r="I15" s="5" t="s">
        <v>7</v>
      </c>
      <c r="J15" s="12">
        <v>6</v>
      </c>
      <c r="L15" s="14">
        <v>3</v>
      </c>
      <c r="M15" s="5" t="s">
        <v>7</v>
      </c>
      <c r="N15" s="12">
        <v>1</v>
      </c>
      <c r="P15" s="14">
        <v>4</v>
      </c>
      <c r="Q15" s="5" t="s">
        <v>7</v>
      </c>
      <c r="R15" s="12">
        <v>3</v>
      </c>
      <c r="T15" s="14">
        <v>5</v>
      </c>
      <c r="U15" s="5" t="s">
        <v>7</v>
      </c>
      <c r="V15" s="12">
        <v>3</v>
      </c>
    </row>
    <row r="16" spans="2:22" x14ac:dyDescent="0.35">
      <c r="H16" s="14">
        <v>6</v>
      </c>
      <c r="I16" s="5" t="s">
        <v>8</v>
      </c>
      <c r="J16" s="12">
        <v>7</v>
      </c>
      <c r="L16" s="14">
        <v>4</v>
      </c>
      <c r="M16" s="5" t="s">
        <v>8</v>
      </c>
      <c r="N16" s="12">
        <v>7</v>
      </c>
      <c r="P16" s="14">
        <v>4</v>
      </c>
      <c r="Q16" s="5" t="s">
        <v>8</v>
      </c>
      <c r="R16" s="12">
        <v>5</v>
      </c>
      <c r="T16" s="14">
        <v>7</v>
      </c>
      <c r="U16" s="5" t="s">
        <v>8</v>
      </c>
      <c r="V16" s="12">
        <v>6</v>
      </c>
    </row>
    <row r="17" spans="8:22" x14ac:dyDescent="0.35">
      <c r="H17" s="14">
        <v>4</v>
      </c>
      <c r="I17" s="5" t="s">
        <v>9</v>
      </c>
      <c r="J17" s="12">
        <v>7</v>
      </c>
      <c r="L17" s="14">
        <v>3</v>
      </c>
      <c r="M17" s="5" t="s">
        <v>9</v>
      </c>
      <c r="N17" s="12">
        <v>3</v>
      </c>
      <c r="P17" s="14">
        <v>4</v>
      </c>
      <c r="Q17" s="5" t="s">
        <v>9</v>
      </c>
      <c r="R17" s="12">
        <v>4</v>
      </c>
      <c r="T17" s="14">
        <v>6</v>
      </c>
      <c r="U17" s="5" t="s">
        <v>9</v>
      </c>
      <c r="V17" s="12">
        <v>3</v>
      </c>
    </row>
    <row r="18" spans="8:22" x14ac:dyDescent="0.35">
      <c r="H18" s="14">
        <v>5</v>
      </c>
      <c r="I18" s="5" t="s">
        <v>10</v>
      </c>
      <c r="J18" s="12">
        <v>10</v>
      </c>
      <c r="L18" s="14">
        <v>5</v>
      </c>
      <c r="M18" s="5" t="s">
        <v>10</v>
      </c>
      <c r="N18" s="12">
        <v>10</v>
      </c>
      <c r="P18" s="14">
        <v>4</v>
      </c>
      <c r="Q18" s="5" t="s">
        <v>10</v>
      </c>
      <c r="R18" s="12">
        <v>7</v>
      </c>
      <c r="T18" s="14">
        <v>9</v>
      </c>
      <c r="U18" s="5" t="s">
        <v>10</v>
      </c>
      <c r="V18" s="12">
        <v>7</v>
      </c>
    </row>
    <row r="19" spans="8:22" x14ac:dyDescent="0.35">
      <c r="H19" s="14">
        <v>3</v>
      </c>
      <c r="I19" s="5" t="s">
        <v>11</v>
      </c>
      <c r="J19" s="12">
        <v>3</v>
      </c>
      <c r="L19" s="14">
        <v>6</v>
      </c>
      <c r="M19" s="5" t="s">
        <v>11</v>
      </c>
      <c r="N19" s="12">
        <v>8</v>
      </c>
      <c r="P19" s="14">
        <v>4</v>
      </c>
      <c r="Q19" s="5" t="s">
        <v>11</v>
      </c>
      <c r="R19" s="12">
        <v>5</v>
      </c>
      <c r="T19" s="14">
        <v>4</v>
      </c>
      <c r="U19" s="5" t="s">
        <v>11</v>
      </c>
      <c r="V19" s="12">
        <v>5</v>
      </c>
    </row>
    <row r="20" spans="8:22" x14ac:dyDescent="0.35">
      <c r="H20" s="14" t="s">
        <v>48</v>
      </c>
      <c r="I20" s="5" t="s">
        <v>70</v>
      </c>
      <c r="J20" s="12" t="s">
        <v>48</v>
      </c>
      <c r="L20" s="14" t="s">
        <v>48</v>
      </c>
      <c r="M20" s="5" t="s">
        <v>70</v>
      </c>
      <c r="N20" s="12" t="s">
        <v>48</v>
      </c>
      <c r="P20" s="14" t="s">
        <v>48</v>
      </c>
      <c r="Q20" s="5" t="s">
        <v>70</v>
      </c>
      <c r="R20" s="12" t="s">
        <v>48</v>
      </c>
      <c r="T20" s="14" t="s">
        <v>48</v>
      </c>
      <c r="U20" s="5" t="s">
        <v>70</v>
      </c>
      <c r="V20" s="12" t="s">
        <v>48</v>
      </c>
    </row>
    <row r="21" spans="8:22" x14ac:dyDescent="0.35">
      <c r="H21" s="14" t="s">
        <v>48</v>
      </c>
      <c r="I21" s="5" t="s">
        <v>12</v>
      </c>
      <c r="J21" s="12" t="s">
        <v>48</v>
      </c>
      <c r="L21" s="14" t="s">
        <v>48</v>
      </c>
      <c r="M21" s="5" t="s">
        <v>12</v>
      </c>
      <c r="N21" s="12" t="s">
        <v>48</v>
      </c>
      <c r="P21" s="14" t="s">
        <v>48</v>
      </c>
      <c r="Q21" s="5" t="s">
        <v>12</v>
      </c>
      <c r="R21" s="12" t="s">
        <v>48</v>
      </c>
      <c r="T21" s="14" t="s">
        <v>48</v>
      </c>
      <c r="U21" s="5" t="s">
        <v>12</v>
      </c>
      <c r="V21" s="12" t="s">
        <v>48</v>
      </c>
    </row>
    <row r="22" spans="8:22" x14ac:dyDescent="0.35">
      <c r="H22" s="14">
        <v>0</v>
      </c>
      <c r="I22" s="5" t="s">
        <v>13</v>
      </c>
      <c r="J22" s="12">
        <v>0</v>
      </c>
      <c r="L22" s="14">
        <v>1</v>
      </c>
      <c r="M22" s="5" t="s">
        <v>13</v>
      </c>
      <c r="N22" s="12">
        <v>3</v>
      </c>
      <c r="P22" s="14">
        <v>3</v>
      </c>
      <c r="Q22" s="5" t="s">
        <v>13</v>
      </c>
      <c r="R22" s="12">
        <v>3</v>
      </c>
      <c r="T22" s="14">
        <v>0</v>
      </c>
      <c r="U22" s="5" t="s">
        <v>13</v>
      </c>
      <c r="V22" s="12">
        <v>2</v>
      </c>
    </row>
    <row r="23" spans="8:22" x14ac:dyDescent="0.35">
      <c r="H23" s="14">
        <v>1</v>
      </c>
      <c r="I23" s="5" t="s">
        <v>14</v>
      </c>
      <c r="J23" s="12">
        <v>3</v>
      </c>
      <c r="L23" s="14">
        <v>2</v>
      </c>
      <c r="M23" s="5" t="s">
        <v>14</v>
      </c>
      <c r="N23" s="12">
        <v>2</v>
      </c>
      <c r="P23" s="14">
        <v>0</v>
      </c>
      <c r="Q23" s="5" t="s">
        <v>14</v>
      </c>
      <c r="R23" s="12">
        <v>0</v>
      </c>
      <c r="T23" s="14">
        <v>3</v>
      </c>
      <c r="U23" s="5" t="s">
        <v>14</v>
      </c>
      <c r="V23" s="12">
        <v>3</v>
      </c>
    </row>
    <row r="24" spans="8:22" ht="15" thickBot="1" x14ac:dyDescent="0.4">
      <c r="H24" s="16">
        <v>8</v>
      </c>
      <c r="I24" s="6" t="s">
        <v>50</v>
      </c>
      <c r="J24" s="13">
        <v>11</v>
      </c>
      <c r="L24" s="16">
        <v>10</v>
      </c>
      <c r="M24" s="6" t="s">
        <v>50</v>
      </c>
      <c r="N24" s="13">
        <v>11</v>
      </c>
      <c r="P24" s="16">
        <v>7</v>
      </c>
      <c r="Q24" s="6" t="s">
        <v>50</v>
      </c>
      <c r="R24" s="13">
        <v>10</v>
      </c>
      <c r="T24" s="16">
        <v>11</v>
      </c>
      <c r="U24" s="6" t="s">
        <v>50</v>
      </c>
      <c r="V24" s="13">
        <v>8</v>
      </c>
    </row>
    <row r="25" spans="8:22" ht="15" thickBot="1" x14ac:dyDescent="0.4"/>
    <row r="26" spans="8:22" x14ac:dyDescent="0.35">
      <c r="H26" s="15" t="s">
        <v>6</v>
      </c>
      <c r="I26" s="4" t="s">
        <v>34</v>
      </c>
      <c r="J26" s="11" t="s">
        <v>16</v>
      </c>
      <c r="L26" s="15" t="s">
        <v>6</v>
      </c>
      <c r="M26" s="4" t="s">
        <v>35</v>
      </c>
      <c r="N26" s="11" t="s">
        <v>16</v>
      </c>
      <c r="P26" s="15" t="s">
        <v>6</v>
      </c>
      <c r="Q26" s="4" t="s">
        <v>49</v>
      </c>
      <c r="R26" s="11" t="s">
        <v>16</v>
      </c>
    </row>
    <row r="27" spans="8:22" x14ac:dyDescent="0.35">
      <c r="H27" s="14">
        <v>4</v>
      </c>
      <c r="I27" s="5" t="s">
        <v>7</v>
      </c>
      <c r="J27" s="12">
        <v>3</v>
      </c>
      <c r="L27" s="14">
        <v>4</v>
      </c>
      <c r="M27" s="5" t="s">
        <v>7</v>
      </c>
      <c r="N27" s="12">
        <v>5</v>
      </c>
      <c r="P27" s="14">
        <f>(H3+L3+P3+T3+H15+L15+P15+T15+H27+L27)/10</f>
        <v>3</v>
      </c>
      <c r="Q27" s="5" t="s">
        <v>7</v>
      </c>
      <c r="R27" s="12">
        <f>(J3+N3+R3+V3+J15+N15+R15+V15+J27+N27)/10</f>
        <v>3.4</v>
      </c>
    </row>
    <row r="28" spans="8:22" x14ac:dyDescent="0.35">
      <c r="H28" s="14">
        <v>7</v>
      </c>
      <c r="I28" s="5" t="s">
        <v>8</v>
      </c>
      <c r="J28" s="12">
        <v>7</v>
      </c>
      <c r="L28" s="14">
        <v>7</v>
      </c>
      <c r="M28" s="5" t="s">
        <v>8</v>
      </c>
      <c r="N28" s="12">
        <v>9</v>
      </c>
      <c r="P28" s="14">
        <f>(H4+L4+P4+T4+H16+L16+P16+T16+H28+L28)/10</f>
        <v>5.2</v>
      </c>
      <c r="Q28" s="5" t="s">
        <v>8</v>
      </c>
      <c r="R28" s="12">
        <f t="shared" ref="R28:R31" si="0">(J4+N4+R4+V4+J16+N16+R16+V16+J28+N28)/10</f>
        <v>6.8</v>
      </c>
    </row>
    <row r="29" spans="8:22" x14ac:dyDescent="0.35">
      <c r="H29" s="14">
        <v>4</v>
      </c>
      <c r="I29" s="5" t="s">
        <v>9</v>
      </c>
      <c r="J29" s="12">
        <v>6</v>
      </c>
      <c r="L29" s="14">
        <v>6</v>
      </c>
      <c r="M29" s="5" t="s">
        <v>9</v>
      </c>
      <c r="N29" s="12">
        <v>7</v>
      </c>
      <c r="P29" s="14">
        <f t="shared" ref="P28:P31" si="1">(H5+L5+P5+T5+H17+L17+P17+T17+H29+L29)/10</f>
        <v>3.7</v>
      </c>
      <c r="Q29" s="5" t="s">
        <v>9</v>
      </c>
      <c r="R29" s="12">
        <f t="shared" si="0"/>
        <v>5.0999999999999996</v>
      </c>
    </row>
    <row r="30" spans="8:22" x14ac:dyDescent="0.35">
      <c r="H30" s="14">
        <v>7</v>
      </c>
      <c r="I30" s="5" t="s">
        <v>10</v>
      </c>
      <c r="J30" s="12">
        <v>8</v>
      </c>
      <c r="L30" s="14">
        <v>6</v>
      </c>
      <c r="M30" s="5" t="s">
        <v>10</v>
      </c>
      <c r="N30" s="12">
        <v>8</v>
      </c>
      <c r="P30" s="14">
        <f t="shared" si="1"/>
        <v>5.7</v>
      </c>
      <c r="Q30" s="5" t="s">
        <v>10</v>
      </c>
      <c r="R30" s="12">
        <f t="shared" si="0"/>
        <v>8.1</v>
      </c>
    </row>
    <row r="31" spans="8:22" x14ac:dyDescent="0.35">
      <c r="H31" s="14">
        <v>4</v>
      </c>
      <c r="I31" s="5" t="s">
        <v>11</v>
      </c>
      <c r="J31" s="12">
        <v>11</v>
      </c>
      <c r="L31" s="14">
        <v>7</v>
      </c>
      <c r="M31" s="5" t="s">
        <v>11</v>
      </c>
      <c r="N31" s="12">
        <v>8</v>
      </c>
      <c r="P31" s="14">
        <f t="shared" si="1"/>
        <v>4.2</v>
      </c>
      <c r="Q31" s="5" t="s">
        <v>11</v>
      </c>
      <c r="R31" s="12">
        <f t="shared" si="0"/>
        <v>5.9</v>
      </c>
    </row>
    <row r="32" spans="8:22" x14ac:dyDescent="0.35">
      <c r="H32" s="14" t="s">
        <v>48</v>
      </c>
      <c r="I32" s="5" t="s">
        <v>70</v>
      </c>
      <c r="J32" s="12" t="s">
        <v>48</v>
      </c>
      <c r="L32" s="14" t="s">
        <v>48</v>
      </c>
      <c r="M32" s="5" t="s">
        <v>70</v>
      </c>
      <c r="N32" s="12" t="s">
        <v>48</v>
      </c>
      <c r="P32" s="14" t="s">
        <v>48</v>
      </c>
      <c r="Q32" s="5" t="s">
        <v>70</v>
      </c>
      <c r="R32" s="12" t="s">
        <v>48</v>
      </c>
    </row>
    <row r="33" spans="8:18" x14ac:dyDescent="0.35">
      <c r="H33" s="14" t="s">
        <v>48</v>
      </c>
      <c r="I33" s="5" t="s">
        <v>12</v>
      </c>
      <c r="J33" s="12" t="s">
        <v>48</v>
      </c>
      <c r="L33" s="14" t="s">
        <v>48</v>
      </c>
      <c r="M33" s="5" t="s">
        <v>12</v>
      </c>
      <c r="N33" s="12" t="s">
        <v>48</v>
      </c>
      <c r="P33" s="14" t="s">
        <v>48</v>
      </c>
      <c r="Q33" s="5" t="s">
        <v>12</v>
      </c>
      <c r="R33" s="12" t="s">
        <v>48</v>
      </c>
    </row>
    <row r="34" spans="8:18" x14ac:dyDescent="0.35">
      <c r="H34" s="14">
        <v>4</v>
      </c>
      <c r="I34" s="5" t="s">
        <v>13</v>
      </c>
      <c r="J34" s="12">
        <v>1</v>
      </c>
      <c r="L34" s="14">
        <v>2</v>
      </c>
      <c r="M34" s="5" t="s">
        <v>13</v>
      </c>
      <c r="N34" s="12">
        <v>2</v>
      </c>
      <c r="P34" s="14">
        <f t="shared" ref="P34:P36" si="2">(H10+L10+P10+T10+H22+L22+P22+T22+H34+L34)/10</f>
        <v>1.5</v>
      </c>
      <c r="Q34" s="5" t="s">
        <v>13</v>
      </c>
      <c r="R34" s="12">
        <f t="shared" ref="R34:R36" si="3">(J10+N10+R10+V10+J22+N22+R22+V22+J34+N34)/10</f>
        <v>1.8</v>
      </c>
    </row>
    <row r="35" spans="8:18" x14ac:dyDescent="0.35">
      <c r="H35" s="14">
        <v>2</v>
      </c>
      <c r="I35" s="5" t="s">
        <v>14</v>
      </c>
      <c r="J35" s="12">
        <v>0</v>
      </c>
      <c r="L35" s="14">
        <v>1</v>
      </c>
      <c r="M35" s="5" t="s">
        <v>14</v>
      </c>
      <c r="N35" s="12">
        <v>3</v>
      </c>
      <c r="P35" s="14">
        <f t="shared" si="2"/>
        <v>1.2</v>
      </c>
      <c r="Q35" s="5" t="s">
        <v>14</v>
      </c>
      <c r="R35" s="12">
        <f t="shared" si="3"/>
        <v>1.5</v>
      </c>
    </row>
    <row r="36" spans="8:18" ht="15" thickBot="1" x14ac:dyDescent="0.4">
      <c r="H36" s="16">
        <v>12</v>
      </c>
      <c r="I36" s="6" t="s">
        <v>50</v>
      </c>
      <c r="J36" s="13">
        <v>13</v>
      </c>
      <c r="L36" s="16">
        <v>9</v>
      </c>
      <c r="M36" s="6" t="s">
        <v>50</v>
      </c>
      <c r="N36" s="13">
        <v>13</v>
      </c>
      <c r="P36" s="16">
        <f t="shared" si="2"/>
        <v>8.8000000000000007</v>
      </c>
      <c r="Q36" s="6" t="s">
        <v>50</v>
      </c>
      <c r="R36" s="13">
        <f t="shared" si="3"/>
        <v>10.4</v>
      </c>
    </row>
  </sheetData>
  <hyperlinks>
    <hyperlink ref="F3" location="'Helios vs Itself'!I2" display="Link" xr:uid="{94984443-6DD6-457D-B113-E3BBA999F592}"/>
    <hyperlink ref="E3" r:id="rId1" xr:uid="{31CABB2C-5260-4721-93F6-CAB56F536D96}"/>
    <hyperlink ref="E4" r:id="rId2" xr:uid="{A088F5E5-32B2-48C2-AD02-F76C1A47BE3C}"/>
    <hyperlink ref="E5" r:id="rId3" xr:uid="{0E678953-DA32-4F51-B6FE-C6A9EF34D5AA}"/>
    <hyperlink ref="E6" r:id="rId4" xr:uid="{FDB6D4B0-80C3-47D6-BE4B-95A1BA53538B}"/>
    <hyperlink ref="E7" r:id="rId5" xr:uid="{784E7D82-6500-4359-A831-6F47398519DA}"/>
    <hyperlink ref="E8" r:id="rId6" xr:uid="{360BF3DE-D87A-4CD8-9EC6-D4F50E2D084D}"/>
    <hyperlink ref="E9" r:id="rId7" xr:uid="{8400E242-0758-4469-B1C4-E6D4D447C291}"/>
    <hyperlink ref="E10" r:id="rId8" xr:uid="{E96AB91A-D72F-4D29-9E8D-9A36B7947FEB}"/>
    <hyperlink ref="E11" r:id="rId9" xr:uid="{CF8F811C-BA15-48CE-8876-CAEA1EAE0E36}"/>
    <hyperlink ref="E12" r:id="rId10" xr:uid="{BE4EFD53-8692-4D65-B165-B795F83B219B}"/>
    <hyperlink ref="F4:F12" location="'Helios vs Itself'!I2" display="Link" xr:uid="{C7B59CF9-8244-421D-A6BF-5BEF1F4B38BC}"/>
    <hyperlink ref="F4" location="'Helios vs Itself'!M2" display="Link" xr:uid="{9471E97C-941B-4E55-BEC7-15DF20C3894F}"/>
    <hyperlink ref="F5" location="'Helios vs Itself'!Q2" display="Link" xr:uid="{C0D14859-E254-44C2-8A82-E334DDB8E902}"/>
    <hyperlink ref="F6" location="'Helios vs Itself'!U2" display="Link" xr:uid="{6AFBA6F4-B43C-466F-8ED7-9308A705E3BB}"/>
    <hyperlink ref="F7" location="'Helios vs Itself'!I14" display="Link" xr:uid="{04C809EB-3B63-4735-B52C-7F2913AD700F}"/>
    <hyperlink ref="F8" location="'Helios vs Itself'!M14" display="Link" xr:uid="{7754EB2A-A0A1-4D18-B58F-85782CFF072A}"/>
    <hyperlink ref="F9" location="'Helios vs Itself'!Q14" display="Link" xr:uid="{AD354C4C-7755-44A4-9B0B-B81D648C0B99}"/>
    <hyperlink ref="F10" location="'Helios vs Itself'!U14" display="Link" xr:uid="{444F4731-40F0-432A-90A4-8EBA33A5571A}"/>
    <hyperlink ref="F11" location="'Helios vs Itself'!I26" display="Link" xr:uid="{DAAE69B1-B906-47ED-90F8-1791D9A89E3D}"/>
    <hyperlink ref="F12" location="'Helios vs Itself'!M26" display="Link" xr:uid="{1DE4F6E0-56E6-421E-8BE5-7D709F8DF331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073E-A34D-46F9-9DDF-92B23178820C}">
  <dimension ref="B1:V36"/>
  <sheetViews>
    <sheetView tabSelected="1" workbookViewId="0">
      <selection activeCell="E19" sqref="E19"/>
    </sheetView>
  </sheetViews>
  <sheetFormatPr defaultRowHeight="14.5" x14ac:dyDescent="0.35"/>
  <cols>
    <col min="1" max="1" width="1.26953125" style="1" customWidth="1"/>
    <col min="2" max="2" width="7.26953125" style="1" bestFit="1" customWidth="1"/>
    <col min="3" max="3" width="8.36328125" style="1" customWidth="1"/>
    <col min="4" max="4" width="13.81640625" style="1" customWidth="1"/>
    <col min="5" max="5" width="27" style="1" bestFit="1" customWidth="1"/>
    <col min="6" max="6" width="22.6328125" style="1" customWidth="1"/>
    <col min="7" max="8" width="8.7265625" style="1"/>
    <col min="9" max="9" width="17.26953125" style="1" bestFit="1" customWidth="1"/>
    <col min="10" max="10" width="14.08984375" style="1" bestFit="1" customWidth="1"/>
    <col min="11" max="11" width="1.6328125" style="1" customWidth="1"/>
    <col min="12" max="12" width="8.7265625" style="1"/>
    <col min="13" max="13" width="17.26953125" style="1" bestFit="1" customWidth="1"/>
    <col min="14" max="14" width="14.08984375" style="1" bestFit="1" customWidth="1"/>
    <col min="15" max="15" width="1.6328125" style="1" customWidth="1"/>
    <col min="16" max="16" width="8.7265625" style="1" customWidth="1"/>
    <col min="17" max="17" width="17.26953125" style="1" bestFit="1" customWidth="1"/>
    <col min="18" max="18" width="14.08984375" style="1" bestFit="1" customWidth="1"/>
    <col min="19" max="19" width="1.6328125" style="1" customWidth="1"/>
    <col min="20" max="20" width="8.7265625" style="1"/>
    <col min="21" max="21" width="17.26953125" style="1" bestFit="1" customWidth="1"/>
    <col min="22" max="22" width="14.08984375" style="1" bestFit="1" customWidth="1"/>
    <col min="23" max="16384" width="8.7265625" style="1"/>
  </cols>
  <sheetData>
    <row r="1" spans="2:22" ht="1.5" customHeight="1" thickBot="1" x14ac:dyDescent="0.4"/>
    <row r="2" spans="2:22" ht="15" thickBot="1" x14ac:dyDescent="0.4">
      <c r="B2" s="7" t="s">
        <v>0</v>
      </c>
      <c r="C2" s="8" t="s">
        <v>1</v>
      </c>
      <c r="D2" s="8" t="s">
        <v>2</v>
      </c>
      <c r="E2" s="8" t="s">
        <v>3</v>
      </c>
      <c r="F2" s="9" t="s">
        <v>4</v>
      </c>
      <c r="H2" s="15" t="s">
        <v>6</v>
      </c>
      <c r="I2" s="4" t="s">
        <v>5</v>
      </c>
      <c r="J2" s="11" t="s">
        <v>36</v>
      </c>
      <c r="L2" s="15" t="s">
        <v>6</v>
      </c>
      <c r="M2" s="4" t="s">
        <v>27</v>
      </c>
      <c r="N2" s="11" t="s">
        <v>36</v>
      </c>
      <c r="P2" s="15" t="s">
        <v>6</v>
      </c>
      <c r="Q2" s="4" t="s">
        <v>28</v>
      </c>
      <c r="R2" s="11" t="s">
        <v>36</v>
      </c>
      <c r="T2" s="15" t="s">
        <v>6</v>
      </c>
      <c r="U2" s="4" t="s">
        <v>29</v>
      </c>
      <c r="V2" s="11" t="s">
        <v>36</v>
      </c>
    </row>
    <row r="3" spans="2:22" ht="15" thickTop="1" x14ac:dyDescent="0.35">
      <c r="B3" s="2">
        <v>1</v>
      </c>
      <c r="C3" s="21" t="s">
        <v>38</v>
      </c>
      <c r="D3" s="22" t="s">
        <v>52</v>
      </c>
      <c r="E3" s="24" t="s">
        <v>69</v>
      </c>
      <c r="F3" s="10" t="s">
        <v>15</v>
      </c>
      <c r="H3" s="14">
        <v>2</v>
      </c>
      <c r="I3" s="5" t="s">
        <v>7</v>
      </c>
      <c r="J3" s="12">
        <v>1</v>
      </c>
      <c r="L3" s="14">
        <v>2</v>
      </c>
      <c r="M3" s="5" t="s">
        <v>7</v>
      </c>
      <c r="N3" s="12">
        <v>2</v>
      </c>
      <c r="P3" s="14">
        <v>4</v>
      </c>
      <c r="Q3" s="5" t="s">
        <v>7</v>
      </c>
      <c r="R3" s="12">
        <v>2</v>
      </c>
      <c r="T3" s="14">
        <v>6</v>
      </c>
      <c r="U3" s="5" t="s">
        <v>7</v>
      </c>
      <c r="V3" s="12">
        <v>2</v>
      </c>
    </row>
    <row r="4" spans="2:22" x14ac:dyDescent="0.35">
      <c r="B4" s="2">
        <v>2</v>
      </c>
      <c r="C4" s="26" t="s">
        <v>59</v>
      </c>
      <c r="D4" s="22" t="s">
        <v>53</v>
      </c>
      <c r="E4" s="24" t="s">
        <v>68</v>
      </c>
      <c r="F4" s="10" t="s">
        <v>15</v>
      </c>
      <c r="H4" s="14">
        <v>3</v>
      </c>
      <c r="I4" s="5" t="s">
        <v>8</v>
      </c>
      <c r="J4" s="12">
        <v>3</v>
      </c>
      <c r="L4" s="14">
        <v>5</v>
      </c>
      <c r="M4" s="5" t="s">
        <v>8</v>
      </c>
      <c r="N4" s="12">
        <v>3</v>
      </c>
      <c r="P4" s="14">
        <v>4</v>
      </c>
      <c r="Q4" s="5" t="s">
        <v>8</v>
      </c>
      <c r="R4" s="12">
        <v>3</v>
      </c>
      <c r="T4" s="14">
        <v>6</v>
      </c>
      <c r="U4" s="5" t="s">
        <v>8</v>
      </c>
      <c r="V4" s="12">
        <v>5</v>
      </c>
    </row>
    <row r="5" spans="2:22" x14ac:dyDescent="0.35">
      <c r="B5" s="2">
        <v>3</v>
      </c>
      <c r="C5" s="21" t="s">
        <v>38</v>
      </c>
      <c r="D5" s="22" t="s">
        <v>54</v>
      </c>
      <c r="E5" s="24" t="s">
        <v>67</v>
      </c>
      <c r="F5" s="10" t="s">
        <v>15</v>
      </c>
      <c r="H5" s="14">
        <v>3</v>
      </c>
      <c r="I5" s="5" t="s">
        <v>9</v>
      </c>
      <c r="J5" s="12">
        <v>3</v>
      </c>
      <c r="L5" s="14">
        <v>4</v>
      </c>
      <c r="M5" s="5" t="s">
        <v>9</v>
      </c>
      <c r="N5" s="12">
        <v>2</v>
      </c>
      <c r="P5" s="14">
        <v>4</v>
      </c>
      <c r="Q5" s="5" t="s">
        <v>9</v>
      </c>
      <c r="R5" s="12">
        <v>2</v>
      </c>
      <c r="T5" s="14">
        <v>6</v>
      </c>
      <c r="U5" s="5" t="s">
        <v>9</v>
      </c>
      <c r="V5" s="12">
        <v>3</v>
      </c>
    </row>
    <row r="6" spans="2:22" x14ac:dyDescent="0.35">
      <c r="B6" s="2">
        <v>4</v>
      </c>
      <c r="C6" s="21" t="s">
        <v>38</v>
      </c>
      <c r="D6" s="22" t="s">
        <v>55</v>
      </c>
      <c r="E6" s="24" t="s">
        <v>66</v>
      </c>
      <c r="F6" s="10" t="s">
        <v>15</v>
      </c>
      <c r="H6" s="14">
        <v>6</v>
      </c>
      <c r="I6" s="5" t="s">
        <v>10</v>
      </c>
      <c r="J6" s="12">
        <v>6</v>
      </c>
      <c r="L6" s="14">
        <v>6</v>
      </c>
      <c r="M6" s="5" t="s">
        <v>10</v>
      </c>
      <c r="N6" s="12">
        <v>4</v>
      </c>
      <c r="P6" s="14">
        <v>5</v>
      </c>
      <c r="Q6" s="5" t="s">
        <v>10</v>
      </c>
      <c r="R6" s="12">
        <v>6</v>
      </c>
      <c r="T6" s="14">
        <v>7</v>
      </c>
      <c r="U6" s="5" t="s">
        <v>10</v>
      </c>
      <c r="V6" s="12">
        <v>4</v>
      </c>
    </row>
    <row r="7" spans="2:22" x14ac:dyDescent="0.35">
      <c r="B7" s="2">
        <v>5</v>
      </c>
      <c r="C7" s="21" t="s">
        <v>38</v>
      </c>
      <c r="D7" s="22" t="s">
        <v>54</v>
      </c>
      <c r="E7" s="24" t="s">
        <v>65</v>
      </c>
      <c r="F7" s="10" t="s">
        <v>15</v>
      </c>
      <c r="H7" s="14">
        <v>6</v>
      </c>
      <c r="I7" s="5" t="s">
        <v>11</v>
      </c>
      <c r="J7" s="12">
        <v>4</v>
      </c>
      <c r="L7" s="14">
        <v>4</v>
      </c>
      <c r="M7" s="5" t="s">
        <v>11</v>
      </c>
      <c r="N7" s="12">
        <v>1</v>
      </c>
      <c r="P7" s="14">
        <v>3</v>
      </c>
      <c r="Q7" s="5" t="s">
        <v>11</v>
      </c>
      <c r="R7" s="12">
        <v>9</v>
      </c>
      <c r="T7" s="14">
        <v>4</v>
      </c>
      <c r="U7" s="5" t="s">
        <v>11</v>
      </c>
      <c r="V7" s="12">
        <v>5</v>
      </c>
    </row>
    <row r="8" spans="2:22" x14ac:dyDescent="0.35">
      <c r="B8" s="2">
        <v>6</v>
      </c>
      <c r="C8" s="26" t="s">
        <v>59</v>
      </c>
      <c r="D8" s="22" t="s">
        <v>56</v>
      </c>
      <c r="E8" s="24" t="s">
        <v>64</v>
      </c>
      <c r="F8" s="10" t="s">
        <v>15</v>
      </c>
      <c r="H8" s="14" t="s">
        <v>48</v>
      </c>
      <c r="I8" s="5" t="s">
        <v>70</v>
      </c>
      <c r="J8" s="12">
        <v>1.2210000000000001</v>
      </c>
      <c r="L8" s="14" t="s">
        <v>48</v>
      </c>
      <c r="M8" s="5" t="s">
        <v>70</v>
      </c>
      <c r="N8" s="12">
        <v>1.3480000000000001</v>
      </c>
      <c r="P8" s="14" t="s">
        <v>48</v>
      </c>
      <c r="Q8" s="5" t="s">
        <v>70</v>
      </c>
      <c r="R8" s="12">
        <v>2.1030000000000002</v>
      </c>
      <c r="T8" s="14" t="s">
        <v>48</v>
      </c>
      <c r="U8" s="5" t="s">
        <v>70</v>
      </c>
      <c r="V8" s="12">
        <v>1.2769999999999999</v>
      </c>
    </row>
    <row r="9" spans="2:22" x14ac:dyDescent="0.35">
      <c r="B9" s="2">
        <v>7</v>
      </c>
      <c r="C9" s="20" t="s">
        <v>37</v>
      </c>
      <c r="D9" s="22" t="s">
        <v>57</v>
      </c>
      <c r="E9" s="24" t="s">
        <v>63</v>
      </c>
      <c r="F9" s="10" t="s">
        <v>15</v>
      </c>
      <c r="H9" s="14" t="s">
        <v>48</v>
      </c>
      <c r="I9" s="5" t="s">
        <v>12</v>
      </c>
      <c r="J9" s="29">
        <f>J8/J4</f>
        <v>0.40700000000000003</v>
      </c>
      <c r="L9" s="14" t="s">
        <v>48</v>
      </c>
      <c r="M9" s="5" t="s">
        <v>12</v>
      </c>
      <c r="N9" s="29">
        <f>N8/N4</f>
        <v>0.44933333333333336</v>
      </c>
      <c r="P9" s="14" t="s">
        <v>48</v>
      </c>
      <c r="Q9" s="5" t="s">
        <v>12</v>
      </c>
      <c r="R9" s="29">
        <f>R8/R4</f>
        <v>0.70100000000000007</v>
      </c>
      <c r="T9" s="14" t="s">
        <v>48</v>
      </c>
      <c r="U9" s="5" t="s">
        <v>12</v>
      </c>
      <c r="V9" s="29">
        <f>V8/V4</f>
        <v>0.25539999999999996</v>
      </c>
    </row>
    <row r="10" spans="2:22" x14ac:dyDescent="0.35">
      <c r="B10" s="2">
        <v>8</v>
      </c>
      <c r="C10" s="21" t="s">
        <v>38</v>
      </c>
      <c r="D10" s="22" t="s">
        <v>41</v>
      </c>
      <c r="E10" s="24" t="s">
        <v>62</v>
      </c>
      <c r="F10" s="10" t="s">
        <v>15</v>
      </c>
      <c r="H10" s="14">
        <v>1</v>
      </c>
      <c r="I10" s="5" t="s">
        <v>13</v>
      </c>
      <c r="J10" s="12">
        <v>0</v>
      </c>
      <c r="L10" s="14">
        <v>5</v>
      </c>
      <c r="M10" s="5" t="s">
        <v>13</v>
      </c>
      <c r="N10" s="12">
        <v>2</v>
      </c>
      <c r="P10" s="14">
        <v>2</v>
      </c>
      <c r="Q10" s="5" t="s">
        <v>13</v>
      </c>
      <c r="R10" s="12">
        <v>3</v>
      </c>
      <c r="T10" s="14">
        <v>2</v>
      </c>
      <c r="U10" s="5" t="s">
        <v>13</v>
      </c>
      <c r="V10" s="12">
        <v>4</v>
      </c>
    </row>
    <row r="11" spans="2:22" x14ac:dyDescent="0.35">
      <c r="B11" s="2">
        <v>9</v>
      </c>
      <c r="C11" s="21" t="s">
        <v>38</v>
      </c>
      <c r="D11" s="22" t="s">
        <v>58</v>
      </c>
      <c r="E11" s="24" t="s">
        <v>61</v>
      </c>
      <c r="F11" s="10" t="s">
        <v>15</v>
      </c>
      <c r="H11" s="14">
        <v>1</v>
      </c>
      <c r="I11" s="5" t="s">
        <v>14</v>
      </c>
      <c r="J11" s="12">
        <v>2</v>
      </c>
      <c r="L11" s="14">
        <v>0</v>
      </c>
      <c r="M11" s="5" t="s">
        <v>14</v>
      </c>
      <c r="N11" s="12">
        <v>4</v>
      </c>
      <c r="P11" s="14">
        <v>1</v>
      </c>
      <c r="Q11" s="5" t="s">
        <v>14</v>
      </c>
      <c r="R11" s="12">
        <v>2</v>
      </c>
      <c r="T11" s="14">
        <v>3</v>
      </c>
      <c r="U11" s="5" t="s">
        <v>14</v>
      </c>
      <c r="V11" s="12">
        <v>3</v>
      </c>
    </row>
    <row r="12" spans="2:22" ht="15" thickBot="1" x14ac:dyDescent="0.4">
      <c r="B12" s="3">
        <v>10</v>
      </c>
      <c r="C12" s="27" t="s">
        <v>38</v>
      </c>
      <c r="D12" s="23" t="s">
        <v>52</v>
      </c>
      <c r="E12" s="25" t="s">
        <v>60</v>
      </c>
      <c r="F12" s="19" t="s">
        <v>15</v>
      </c>
      <c r="H12" s="16">
        <v>8</v>
      </c>
      <c r="I12" s="6" t="s">
        <v>50</v>
      </c>
      <c r="J12" s="13">
        <v>7</v>
      </c>
      <c r="L12" s="16">
        <v>6</v>
      </c>
      <c r="M12" s="6" t="s">
        <v>50</v>
      </c>
      <c r="N12" s="13">
        <v>7</v>
      </c>
      <c r="P12" s="16">
        <v>7</v>
      </c>
      <c r="Q12" s="6" t="s">
        <v>50</v>
      </c>
      <c r="R12" s="13">
        <v>10</v>
      </c>
      <c r="T12" s="16">
        <v>7</v>
      </c>
      <c r="U12" s="6" t="s">
        <v>50</v>
      </c>
      <c r="V12" s="13">
        <v>9</v>
      </c>
    </row>
    <row r="13" spans="2:22" ht="15" thickBot="1" x14ac:dyDescent="0.4"/>
    <row r="14" spans="2:22" x14ac:dyDescent="0.35">
      <c r="H14" s="15" t="s">
        <v>6</v>
      </c>
      <c r="I14" s="4" t="s">
        <v>30</v>
      </c>
      <c r="J14" s="11" t="s">
        <v>36</v>
      </c>
      <c r="L14" s="15" t="s">
        <v>6</v>
      </c>
      <c r="M14" s="4" t="s">
        <v>31</v>
      </c>
      <c r="N14" s="11" t="s">
        <v>36</v>
      </c>
      <c r="P14" s="15" t="s">
        <v>6</v>
      </c>
      <c r="Q14" s="4" t="s">
        <v>32</v>
      </c>
      <c r="R14" s="11" t="s">
        <v>36</v>
      </c>
      <c r="T14" s="15" t="s">
        <v>6</v>
      </c>
      <c r="U14" s="4" t="s">
        <v>33</v>
      </c>
      <c r="V14" s="11" t="s">
        <v>36</v>
      </c>
    </row>
    <row r="15" spans="2:22" x14ac:dyDescent="0.35">
      <c r="H15" s="14">
        <v>4</v>
      </c>
      <c r="I15" s="5" t="s">
        <v>7</v>
      </c>
      <c r="J15" s="12">
        <v>2</v>
      </c>
      <c r="L15" s="14">
        <v>3</v>
      </c>
      <c r="M15" s="5" t="s">
        <v>7</v>
      </c>
      <c r="N15" s="12">
        <v>3</v>
      </c>
      <c r="P15" s="14">
        <v>0</v>
      </c>
      <c r="Q15" s="5" t="s">
        <v>7</v>
      </c>
      <c r="R15" s="12">
        <v>1</v>
      </c>
      <c r="T15" s="14">
        <v>4</v>
      </c>
      <c r="U15" s="5" t="s">
        <v>7</v>
      </c>
      <c r="V15" s="12">
        <v>1</v>
      </c>
    </row>
    <row r="16" spans="2:22" x14ac:dyDescent="0.35">
      <c r="H16" s="14">
        <v>7</v>
      </c>
      <c r="I16" s="5" t="s">
        <v>8</v>
      </c>
      <c r="J16" s="12">
        <v>6</v>
      </c>
      <c r="L16" s="14">
        <v>6</v>
      </c>
      <c r="M16" s="5" t="s">
        <v>8</v>
      </c>
      <c r="N16" s="12">
        <v>4</v>
      </c>
      <c r="P16" s="14">
        <v>5</v>
      </c>
      <c r="Q16" s="5" t="s">
        <v>8</v>
      </c>
      <c r="R16" s="12">
        <v>3</v>
      </c>
      <c r="T16" s="14">
        <v>7</v>
      </c>
      <c r="U16" s="5" t="s">
        <v>8</v>
      </c>
      <c r="V16" s="12">
        <v>4</v>
      </c>
    </row>
    <row r="17" spans="8:22" x14ac:dyDescent="0.35">
      <c r="H17" s="14">
        <v>6</v>
      </c>
      <c r="I17" s="5" t="s">
        <v>9</v>
      </c>
      <c r="J17" s="12">
        <v>5</v>
      </c>
      <c r="L17" s="14">
        <v>5</v>
      </c>
      <c r="M17" s="5" t="s">
        <v>9</v>
      </c>
      <c r="N17" s="12">
        <v>3</v>
      </c>
      <c r="P17" s="14">
        <v>2</v>
      </c>
      <c r="Q17" s="5" t="s">
        <v>9</v>
      </c>
      <c r="R17" s="12">
        <v>2</v>
      </c>
      <c r="T17" s="14">
        <v>6</v>
      </c>
      <c r="U17" s="5" t="s">
        <v>9</v>
      </c>
      <c r="V17" s="12">
        <v>4</v>
      </c>
    </row>
    <row r="18" spans="8:22" x14ac:dyDescent="0.35">
      <c r="H18" s="14">
        <v>7</v>
      </c>
      <c r="I18" s="5" t="s">
        <v>10</v>
      </c>
      <c r="J18" s="12">
        <v>7</v>
      </c>
      <c r="L18" s="14">
        <v>6</v>
      </c>
      <c r="M18" s="5" t="s">
        <v>10</v>
      </c>
      <c r="N18" s="12">
        <v>8</v>
      </c>
      <c r="P18" s="14">
        <v>5</v>
      </c>
      <c r="Q18" s="5" t="s">
        <v>10</v>
      </c>
      <c r="R18" s="12">
        <v>4</v>
      </c>
      <c r="T18" s="14">
        <v>8</v>
      </c>
      <c r="U18" s="5" t="s">
        <v>10</v>
      </c>
      <c r="V18" s="12">
        <v>4</v>
      </c>
    </row>
    <row r="19" spans="8:22" x14ac:dyDescent="0.35">
      <c r="H19" s="14">
        <v>5</v>
      </c>
      <c r="I19" s="5" t="s">
        <v>11</v>
      </c>
      <c r="J19" s="12">
        <v>2</v>
      </c>
      <c r="L19" s="14">
        <v>5</v>
      </c>
      <c r="M19" s="5" t="s">
        <v>11</v>
      </c>
      <c r="N19" s="12">
        <v>9</v>
      </c>
      <c r="P19" s="14">
        <v>2</v>
      </c>
      <c r="Q19" s="5" t="s">
        <v>11</v>
      </c>
      <c r="R19" s="12">
        <v>5</v>
      </c>
      <c r="T19" s="14">
        <v>4</v>
      </c>
      <c r="U19" s="5" t="s">
        <v>11</v>
      </c>
      <c r="V19" s="12">
        <v>3</v>
      </c>
    </row>
    <row r="20" spans="8:22" x14ac:dyDescent="0.35">
      <c r="H20" s="14" t="s">
        <v>48</v>
      </c>
      <c r="I20" s="5" t="s">
        <v>70</v>
      </c>
      <c r="J20" s="12">
        <v>2.0190000000000001</v>
      </c>
      <c r="L20" s="14" t="s">
        <v>48</v>
      </c>
      <c r="M20" s="5" t="s">
        <v>70</v>
      </c>
      <c r="N20" s="12">
        <v>1.4379999999999999</v>
      </c>
      <c r="P20" s="14" t="s">
        <v>48</v>
      </c>
      <c r="Q20" s="5" t="s">
        <v>70</v>
      </c>
      <c r="R20" s="12">
        <v>0.96799999999999997</v>
      </c>
      <c r="T20" s="14" t="s">
        <v>48</v>
      </c>
      <c r="U20" s="5" t="s">
        <v>70</v>
      </c>
      <c r="V20" s="12">
        <v>0.91400000000000003</v>
      </c>
    </row>
    <row r="21" spans="8:22" x14ac:dyDescent="0.35">
      <c r="H21" s="14" t="s">
        <v>48</v>
      </c>
      <c r="I21" s="5" t="s">
        <v>12</v>
      </c>
      <c r="J21" s="29">
        <f>J20/J16</f>
        <v>0.33650000000000002</v>
      </c>
      <c r="L21" s="14" t="s">
        <v>48</v>
      </c>
      <c r="M21" s="5" t="s">
        <v>12</v>
      </c>
      <c r="N21" s="29">
        <f>N20/N16</f>
        <v>0.35949999999999999</v>
      </c>
      <c r="P21" s="14" t="s">
        <v>48</v>
      </c>
      <c r="Q21" s="5" t="s">
        <v>12</v>
      </c>
      <c r="R21" s="29">
        <f>R20/R16</f>
        <v>0.32266666666666666</v>
      </c>
      <c r="T21" s="14" t="s">
        <v>48</v>
      </c>
      <c r="U21" s="5" t="s">
        <v>12</v>
      </c>
      <c r="V21" s="29">
        <f>V20/V16</f>
        <v>0.22850000000000001</v>
      </c>
    </row>
    <row r="22" spans="8:22" x14ac:dyDescent="0.35">
      <c r="H22" s="14">
        <v>4</v>
      </c>
      <c r="I22" s="5" t="s">
        <v>13</v>
      </c>
      <c r="J22" s="12">
        <v>3</v>
      </c>
      <c r="L22" s="14">
        <v>3</v>
      </c>
      <c r="M22" s="5" t="s">
        <v>13</v>
      </c>
      <c r="N22" s="12">
        <v>2</v>
      </c>
      <c r="P22" s="14">
        <v>3</v>
      </c>
      <c r="Q22" s="5" t="s">
        <v>13</v>
      </c>
      <c r="R22" s="12">
        <v>3</v>
      </c>
      <c r="T22" s="14">
        <v>7</v>
      </c>
      <c r="U22" s="5" t="s">
        <v>13</v>
      </c>
      <c r="V22" s="12">
        <v>1</v>
      </c>
    </row>
    <row r="23" spans="8:22" x14ac:dyDescent="0.35">
      <c r="H23" s="14">
        <v>0</v>
      </c>
      <c r="I23" s="5" t="s">
        <v>14</v>
      </c>
      <c r="J23" s="12">
        <v>1</v>
      </c>
      <c r="L23" s="14">
        <v>1</v>
      </c>
      <c r="M23" s="5" t="s">
        <v>14</v>
      </c>
      <c r="N23" s="12">
        <v>0</v>
      </c>
      <c r="P23" s="14">
        <v>0</v>
      </c>
      <c r="Q23" s="5" t="s">
        <v>14</v>
      </c>
      <c r="R23" s="12">
        <v>3</v>
      </c>
      <c r="T23" s="14">
        <v>0</v>
      </c>
      <c r="U23" s="5" t="s">
        <v>14</v>
      </c>
      <c r="V23" s="12">
        <v>0</v>
      </c>
    </row>
    <row r="24" spans="8:22" ht="15" thickBot="1" x14ac:dyDescent="0.4">
      <c r="H24" s="16">
        <v>7</v>
      </c>
      <c r="I24" s="6" t="s">
        <v>50</v>
      </c>
      <c r="J24" s="13">
        <v>9</v>
      </c>
      <c r="L24" s="16">
        <v>7</v>
      </c>
      <c r="M24" s="6" t="s">
        <v>50</v>
      </c>
      <c r="N24" s="13">
        <v>11</v>
      </c>
      <c r="P24" s="16">
        <v>7</v>
      </c>
      <c r="Q24" s="6" t="s">
        <v>50</v>
      </c>
      <c r="R24" s="13">
        <v>7</v>
      </c>
      <c r="T24" s="16">
        <v>9</v>
      </c>
      <c r="U24" s="6" t="s">
        <v>50</v>
      </c>
      <c r="V24" s="13">
        <v>7</v>
      </c>
    </row>
    <row r="25" spans="8:22" ht="15" thickBot="1" x14ac:dyDescent="0.4"/>
    <row r="26" spans="8:22" x14ac:dyDescent="0.35">
      <c r="H26" s="15" t="s">
        <v>6</v>
      </c>
      <c r="I26" s="4" t="s">
        <v>34</v>
      </c>
      <c r="J26" s="11" t="s">
        <v>36</v>
      </c>
      <c r="L26" s="15" t="s">
        <v>6</v>
      </c>
      <c r="M26" s="4" t="s">
        <v>35</v>
      </c>
      <c r="N26" s="11" t="s">
        <v>36</v>
      </c>
      <c r="P26" s="15" t="s">
        <v>6</v>
      </c>
      <c r="Q26" s="4" t="s">
        <v>49</v>
      </c>
      <c r="R26" s="11" t="s">
        <v>16</v>
      </c>
      <c r="U26" s="1" t="s">
        <v>51</v>
      </c>
    </row>
    <row r="27" spans="8:22" x14ac:dyDescent="0.35">
      <c r="H27" s="14">
        <v>3</v>
      </c>
      <c r="I27" s="5" t="s">
        <v>7</v>
      </c>
      <c r="J27" s="12">
        <v>2</v>
      </c>
      <c r="L27" s="14">
        <v>2</v>
      </c>
      <c r="M27" s="5" t="s">
        <v>7</v>
      </c>
      <c r="N27" s="12">
        <v>1</v>
      </c>
      <c r="P27" s="14">
        <f>(H3+L3+P3+T3+H15+L15+P15+T15+H27+L27)/10</f>
        <v>3</v>
      </c>
      <c r="Q27" s="5" t="s">
        <v>7</v>
      </c>
      <c r="R27" s="12">
        <f>(J3+N3+R3+V3+J15+N15+R15+V15+J27+N27)/10</f>
        <v>1.7</v>
      </c>
    </row>
    <row r="28" spans="8:22" x14ac:dyDescent="0.35">
      <c r="H28" s="14">
        <v>6</v>
      </c>
      <c r="I28" s="5" t="s">
        <v>8</v>
      </c>
      <c r="J28" s="12">
        <v>5</v>
      </c>
      <c r="L28" s="14">
        <v>3</v>
      </c>
      <c r="M28" s="5" t="s">
        <v>8</v>
      </c>
      <c r="N28" s="12">
        <v>2</v>
      </c>
      <c r="P28" s="14">
        <f>(H4+L4+P4+T4+H16+L16+P16+T16+H28+L28)/10</f>
        <v>5.2</v>
      </c>
      <c r="Q28" s="5" t="s">
        <v>8</v>
      </c>
      <c r="R28" s="12">
        <f t="shared" ref="R28:R32" si="0">(J4+N4+R4+V4+J16+N16+R16+V16+J28+N28)/10</f>
        <v>3.8</v>
      </c>
    </row>
    <row r="29" spans="8:22" x14ac:dyDescent="0.35">
      <c r="H29" s="14">
        <v>5</v>
      </c>
      <c r="I29" s="5" t="s">
        <v>9</v>
      </c>
      <c r="J29" s="12">
        <v>3</v>
      </c>
      <c r="L29" s="14">
        <v>2</v>
      </c>
      <c r="M29" s="5" t="s">
        <v>9</v>
      </c>
      <c r="N29" s="12">
        <v>1</v>
      </c>
      <c r="P29" s="14">
        <f t="shared" ref="P29:P31" si="1">(H5+L5+P5+T5+H17+L17+P17+T17+H29+L29)/10</f>
        <v>4.3</v>
      </c>
      <c r="Q29" s="5" t="s">
        <v>9</v>
      </c>
      <c r="R29" s="12">
        <f t="shared" si="0"/>
        <v>2.8</v>
      </c>
    </row>
    <row r="30" spans="8:22" x14ac:dyDescent="0.35">
      <c r="H30" s="14">
        <v>6</v>
      </c>
      <c r="I30" s="5" t="s">
        <v>10</v>
      </c>
      <c r="J30" s="12">
        <v>6</v>
      </c>
      <c r="L30" s="14">
        <v>4</v>
      </c>
      <c r="M30" s="5" t="s">
        <v>10</v>
      </c>
      <c r="N30" s="12">
        <v>4</v>
      </c>
      <c r="P30" s="14">
        <f t="shared" si="1"/>
        <v>6</v>
      </c>
      <c r="Q30" s="5" t="s">
        <v>10</v>
      </c>
      <c r="R30" s="12">
        <f t="shared" si="0"/>
        <v>5.3</v>
      </c>
    </row>
    <row r="31" spans="8:22" x14ac:dyDescent="0.35">
      <c r="H31" s="14">
        <v>5</v>
      </c>
      <c r="I31" s="5" t="s">
        <v>11</v>
      </c>
      <c r="J31" s="12">
        <v>6</v>
      </c>
      <c r="L31" s="14">
        <v>3</v>
      </c>
      <c r="M31" s="5" t="s">
        <v>11</v>
      </c>
      <c r="N31" s="12">
        <v>2</v>
      </c>
      <c r="P31" s="14">
        <f t="shared" si="1"/>
        <v>4.0999999999999996</v>
      </c>
      <c r="Q31" s="5" t="s">
        <v>11</v>
      </c>
      <c r="R31" s="12">
        <f t="shared" si="0"/>
        <v>4.5999999999999996</v>
      </c>
    </row>
    <row r="32" spans="8:22" x14ac:dyDescent="0.35">
      <c r="H32" s="14" t="s">
        <v>48</v>
      </c>
      <c r="I32" s="5" t="s">
        <v>70</v>
      </c>
      <c r="J32" s="12">
        <v>1.2849999999999999</v>
      </c>
      <c r="L32" s="14" t="s">
        <v>48</v>
      </c>
      <c r="M32" s="5" t="s">
        <v>70</v>
      </c>
      <c r="N32" s="12">
        <v>0.75800000000000001</v>
      </c>
      <c r="P32" s="14" t="s">
        <v>48</v>
      </c>
      <c r="Q32" s="5" t="s">
        <v>70</v>
      </c>
      <c r="R32" s="12">
        <f t="shared" si="0"/>
        <v>1.3331</v>
      </c>
    </row>
    <row r="33" spans="8:18" x14ac:dyDescent="0.35">
      <c r="H33" s="14" t="s">
        <v>48</v>
      </c>
      <c r="I33" s="5" t="s">
        <v>12</v>
      </c>
      <c r="J33" s="29">
        <f>J32/J28</f>
        <v>0.25700000000000001</v>
      </c>
      <c r="L33" s="14" t="s">
        <v>48</v>
      </c>
      <c r="M33" s="5" t="s">
        <v>12</v>
      </c>
      <c r="N33" s="29">
        <f>N32/N28</f>
        <v>0.379</v>
      </c>
      <c r="P33" s="14" t="s">
        <v>48</v>
      </c>
      <c r="Q33" s="5" t="s">
        <v>12</v>
      </c>
      <c r="R33" s="12">
        <f t="shared" ref="R33:R34" si="2">(J9+N9+R9+V9+J21+N21+R21+V21+J33+N33)/10</f>
        <v>0.36959000000000003</v>
      </c>
    </row>
    <row r="34" spans="8:18" x14ac:dyDescent="0.35">
      <c r="H34" s="14">
        <v>2</v>
      </c>
      <c r="I34" s="5" t="s">
        <v>13</v>
      </c>
      <c r="J34" s="12">
        <v>2</v>
      </c>
      <c r="L34" s="14">
        <v>2</v>
      </c>
      <c r="M34" s="5" t="s">
        <v>13</v>
      </c>
      <c r="N34" s="12">
        <v>0</v>
      </c>
      <c r="P34" s="14">
        <f t="shared" ref="P34:P36" si="3">(H10+L10+P10+T10+H22+L22+P22+T22+H34+L34)/10</f>
        <v>3.1</v>
      </c>
      <c r="Q34" s="5" t="s">
        <v>13</v>
      </c>
      <c r="R34" s="12">
        <f t="shared" si="2"/>
        <v>2</v>
      </c>
    </row>
    <row r="35" spans="8:18" x14ac:dyDescent="0.35">
      <c r="H35" s="14">
        <v>2</v>
      </c>
      <c r="I35" s="5" t="s">
        <v>14</v>
      </c>
      <c r="J35" s="12">
        <v>3</v>
      </c>
      <c r="L35" s="14">
        <v>0</v>
      </c>
      <c r="M35" s="5" t="s">
        <v>14</v>
      </c>
      <c r="N35" s="12">
        <v>0</v>
      </c>
      <c r="P35" s="14">
        <f t="shared" si="3"/>
        <v>0.8</v>
      </c>
      <c r="Q35" s="5" t="s">
        <v>14</v>
      </c>
      <c r="R35" s="12">
        <f>(J11+N11+R11+V11+J23+N23+R23+V23+J35+N35)/10</f>
        <v>1.8</v>
      </c>
    </row>
    <row r="36" spans="8:18" ht="15" thickBot="1" x14ac:dyDescent="0.4">
      <c r="H36" s="16">
        <v>9</v>
      </c>
      <c r="I36" s="6" t="s">
        <v>50</v>
      </c>
      <c r="J36" s="13">
        <v>8</v>
      </c>
      <c r="L36" s="16">
        <v>6</v>
      </c>
      <c r="M36" s="6" t="s">
        <v>50</v>
      </c>
      <c r="N36" s="13">
        <v>6</v>
      </c>
      <c r="P36" s="16">
        <f t="shared" si="3"/>
        <v>7.3</v>
      </c>
      <c r="Q36" s="6" t="s">
        <v>50</v>
      </c>
      <c r="R36" s="13">
        <f>(J12+N12+R12+V12+J24+N24+R24+V24+J36+N36)/10</f>
        <v>8.1</v>
      </c>
    </row>
  </sheetData>
  <hyperlinks>
    <hyperlink ref="F3" location="'Helios vs Donny'!I2" display="Link" xr:uid="{BA4276C8-2313-45A2-8415-E688DB41C9E1}"/>
    <hyperlink ref="F4:F12" location="'Helios vs Itself'!I2" display="Link" xr:uid="{E5BC354A-00E3-4CAE-A86B-A955430DBEB0}"/>
    <hyperlink ref="F4" location="'Helios vs Donny'!M2" display="Link" xr:uid="{065E5FE0-B51B-4287-844C-1605403414B2}"/>
    <hyperlink ref="F5" location="'Helios vs Donny'!Q2" display="Link" xr:uid="{1AED05F9-71CB-4B31-89B8-FA28206C01D9}"/>
    <hyperlink ref="F6" location="'Helios vs Donny'!U2" display="Link" xr:uid="{E047847F-1082-4980-B0CE-0C5C8E1504C5}"/>
    <hyperlink ref="F7" location="'Helios vs Donny'!I14" display="Link" xr:uid="{176828D4-F309-4A14-883E-21D7E738A881}"/>
    <hyperlink ref="F8" location="'Helios vs Donny'!M14" display="Link" xr:uid="{36534F2A-3D4D-4013-8292-6764DE9AFD2D}"/>
    <hyperlink ref="F9" location="'Helios vs Donny'!Q14" display="Link" xr:uid="{ABF1B169-C5AF-4A85-A207-48B9DAF6E908}"/>
    <hyperlink ref="F10" location="'Helios vs Donny'!U14" display="Link" xr:uid="{98A9B230-229B-4948-B497-CD37F4FC8A79}"/>
    <hyperlink ref="F11" location="'Helios vs Donny'!I26" display="Link" xr:uid="{213A11AF-1985-4149-9592-296266B2ED1F}"/>
    <hyperlink ref="F12" location="'Helios vs Donny'!M26" display="Link" xr:uid="{2AB37533-3485-45F1-A911-983E5ECD8E1D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Helios vs Itself</vt:lpstr>
      <vt:lpstr>Helios vs Donny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Young</dc:creator>
  <cp:lastModifiedBy>James Young</cp:lastModifiedBy>
  <dcterms:created xsi:type="dcterms:W3CDTF">2025-04-13T01:53:02Z</dcterms:created>
  <dcterms:modified xsi:type="dcterms:W3CDTF">2025-04-21T20:49:44Z</dcterms:modified>
</cp:coreProperties>
</file>